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1415" windowHeight="12285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C37" i="2"/>
  <c r="B37"/>
  <c r="D34" i="1"/>
  <c r="C34"/>
  <c r="B34"/>
  <c r="J42"/>
  <c r="I42"/>
  <c r="H42"/>
  <c r="J36"/>
  <c r="J43" s="1"/>
  <c r="I36"/>
  <c r="I43" s="1"/>
  <c r="H36"/>
  <c r="H43" l="1"/>
</calcChain>
</file>

<file path=xl/sharedStrings.xml><?xml version="1.0" encoding="utf-8"?>
<sst xmlns="http://schemas.openxmlformats.org/spreadsheetml/2006/main" count="137" uniqueCount="79">
  <si>
    <t xml:space="preserve">Reports -Module Name </t>
  </si>
  <si>
    <t>Aging Report</t>
  </si>
  <si>
    <t>Outward Report</t>
  </si>
  <si>
    <t>Closing Stock</t>
  </si>
  <si>
    <t>Inward No</t>
  </si>
  <si>
    <t>Inward Date</t>
  </si>
  <si>
    <t>Lot NO</t>
  </si>
  <si>
    <t>Lot Name</t>
  </si>
  <si>
    <t>Dia</t>
  </si>
  <si>
    <t>Colour</t>
  </si>
  <si>
    <t>No.Of Rolls</t>
  </si>
  <si>
    <t>Weight</t>
  </si>
  <si>
    <t>No.Of Days</t>
  </si>
  <si>
    <t>Value</t>
  </si>
  <si>
    <t>Inward entry Rate X Colour &amp; dia wise weight</t>
  </si>
  <si>
    <t xml:space="preserve">This Report Filtered by </t>
  </si>
  <si>
    <t>Aging  Summary Report</t>
  </si>
  <si>
    <t xml:space="preserve">Aging  Detailed Report </t>
  </si>
  <si>
    <t>Lot No wise Summary</t>
  </si>
  <si>
    <t>No.of Rolls</t>
  </si>
  <si>
    <t>Weight(Dia wise )</t>
  </si>
  <si>
    <t>Total</t>
  </si>
  <si>
    <t>2526/00001</t>
  </si>
  <si>
    <t>02.02.2026</t>
  </si>
  <si>
    <t>2526/00002</t>
  </si>
  <si>
    <t>trunks</t>
  </si>
  <si>
    <t>red</t>
  </si>
  <si>
    <t>blue</t>
  </si>
  <si>
    <t>01.02.2026</t>
  </si>
  <si>
    <t>Trunks</t>
  </si>
  <si>
    <t>Panties</t>
  </si>
  <si>
    <t>Lot Name Wise Summary</t>
  </si>
  <si>
    <t>Total:</t>
  </si>
  <si>
    <t>DIA</t>
  </si>
  <si>
    <t>DIA Wise Group</t>
  </si>
  <si>
    <t xml:space="preserve">If we choose Dia Wise the DIA column Need to come </t>
  </si>
  <si>
    <t>Without Dia Column</t>
  </si>
  <si>
    <t>Over All Total</t>
  </si>
  <si>
    <t>01.04.2023(Modify option needed)</t>
  </si>
  <si>
    <t>Current Date (Modify option needed)</t>
  </si>
  <si>
    <t>From Date:</t>
  </si>
  <si>
    <t>ToDate:</t>
  </si>
  <si>
    <t>Outward  Report</t>
  </si>
  <si>
    <t xml:space="preserve">Lot Closing Report </t>
  </si>
  <si>
    <t>INWARD REPORT</t>
  </si>
  <si>
    <t>This Report Filtered by</t>
  </si>
  <si>
    <t>DATE</t>
  </si>
  <si>
    <t>PARTY</t>
  </si>
  <si>
    <t>LOT NAME</t>
  </si>
  <si>
    <t>INWARD DATE</t>
  </si>
  <si>
    <t>INWARD NO</t>
  </si>
  <si>
    <t>PARTY NAME</t>
  </si>
  <si>
    <t>PARTY DC NO</t>
  </si>
  <si>
    <t>LOT NO.</t>
  </si>
  <si>
    <t>ROLL</t>
  </si>
  <si>
    <t>WEIGHT</t>
  </si>
  <si>
    <t>VALUE</t>
  </si>
  <si>
    <t xml:space="preserve">This Report Filtered By </t>
  </si>
  <si>
    <t>LOT NO</t>
  </si>
  <si>
    <t>DC.NO</t>
  </si>
  <si>
    <t>DC DATE</t>
  </si>
  <si>
    <t>PROCESS</t>
  </si>
  <si>
    <t>IF WE FILTER DIA WISE NEED THIS FORMAT</t>
  </si>
  <si>
    <t>L.NO</t>
  </si>
  <si>
    <t>7,8,9,10,6</t>
  </si>
  <si>
    <t>(BECAUSE SAME DIA COMES MANY LOT )</t>
  </si>
  <si>
    <t>OPENING STOCK</t>
  </si>
  <si>
    <t>INWARD</t>
  </si>
  <si>
    <t>OUTWARD</t>
  </si>
  <si>
    <t>THIS REPORT FILTERED BY</t>
  </si>
  <si>
    <t>COMPLETE</t>
  </si>
  <si>
    <t>TOTAL RECEIVED ROLL</t>
  </si>
  <si>
    <t>REC.WEIGHT</t>
  </si>
  <si>
    <t>DELIVERED ROLL</t>
  </si>
  <si>
    <t>DELI.WEIGHT</t>
  </si>
  <si>
    <t>BALANCE ROLL</t>
  </si>
  <si>
    <t>STATUS</t>
  </si>
  <si>
    <t>LIKE COMPLETE OR INCOMPLETE</t>
  </si>
  <si>
    <t>IF WE CHOOSE COMPLETE OPTION IN FILTER ONLY SHOW COMPLETED LOT REPORT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</si>
</sst>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Border="1"/>
    <xf numFmtId="0" fontId="0" fillId="0" borderId="1" xfId="0" applyFill="1" applyBorder="1"/>
    <xf numFmtId="0" fontId="1" fillId="0" borderId="0" xfId="0" applyFont="1" applyBorder="1"/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2" borderId="0" xfId="0" applyFill="1" applyBorder="1"/>
    <xf numFmtId="0" fontId="0" fillId="0" borderId="4" xfId="0" applyBorder="1"/>
    <xf numFmtId="0" fontId="3" fillId="0" borderId="4" xfId="0" applyFont="1" applyBorder="1"/>
    <xf numFmtId="0" fontId="6" fillId="0" borderId="0" xfId="0" applyFont="1"/>
    <xf numFmtId="0" fontId="7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1" fillId="0" borderId="1" xfId="0" applyFont="1" applyFill="1" applyBorder="1"/>
    <xf numFmtId="0" fontId="5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topLeftCell="A28" zoomScale="142" zoomScaleNormal="142" workbookViewId="0">
      <selection activeCell="J20" sqref="J20"/>
    </sheetView>
  </sheetViews>
  <sheetFormatPr defaultRowHeight="15"/>
  <cols>
    <col min="1" max="1" width="22.42578125" customWidth="1"/>
    <col min="2" max="2" width="22.140625" customWidth="1"/>
    <col min="4" max="4" width="9.85546875" bestFit="1" customWidth="1"/>
    <col min="5" max="5" width="11.28515625" customWidth="1"/>
    <col min="6" max="6" width="13.140625" customWidth="1"/>
    <col min="7" max="7" width="21.140625" customWidth="1"/>
    <col min="8" max="8" width="13.7109375" customWidth="1"/>
    <col min="9" max="9" width="13.85546875" customWidth="1"/>
    <col min="10" max="10" width="19.28515625" customWidth="1"/>
    <col min="13" max="13" width="9.85546875" bestFit="1" customWidth="1"/>
  </cols>
  <sheetData>
    <row r="1" spans="1:10">
      <c r="A1" s="1" t="s">
        <v>0</v>
      </c>
    </row>
    <row r="2" spans="1:10">
      <c r="A2" t="s">
        <v>1</v>
      </c>
    </row>
    <row r="3" spans="1:10">
      <c r="A3" t="s">
        <v>2</v>
      </c>
    </row>
    <row r="4" spans="1:10">
      <c r="A4" t="s">
        <v>3</v>
      </c>
    </row>
    <row r="6" spans="1:10" ht="23.25">
      <c r="A6" s="23" t="s">
        <v>17</v>
      </c>
      <c r="B6" s="23"/>
      <c r="C6" s="23"/>
      <c r="D6" s="23"/>
      <c r="E6" s="23"/>
      <c r="F6" s="23"/>
      <c r="G6" s="23"/>
      <c r="H6" s="23"/>
      <c r="I6" s="23"/>
      <c r="J6" s="23"/>
    </row>
    <row r="7" spans="1:10">
      <c r="B7" s="16" t="s">
        <v>15</v>
      </c>
      <c r="C7" s="17" t="s">
        <v>6</v>
      </c>
      <c r="E7" t="s">
        <v>40</v>
      </c>
      <c r="F7" s="27" t="s">
        <v>38</v>
      </c>
      <c r="G7" s="27"/>
      <c r="H7" t="s">
        <v>41</v>
      </c>
      <c r="I7" s="27" t="s">
        <v>39</v>
      </c>
      <c r="J7" s="27"/>
    </row>
    <row r="8" spans="1:10">
      <c r="C8" s="5" t="s">
        <v>7</v>
      </c>
    </row>
    <row r="9" spans="1:10">
      <c r="C9" s="5" t="s">
        <v>8</v>
      </c>
    </row>
    <row r="10" spans="1:10">
      <c r="C10" s="5" t="s">
        <v>9</v>
      </c>
    </row>
    <row r="11" spans="1:10">
      <c r="C11" s="9"/>
    </row>
    <row r="12" spans="1:10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 t="s">
        <v>10</v>
      </c>
      <c r="H12" s="3" t="s">
        <v>11</v>
      </c>
      <c r="I12" s="3" t="s">
        <v>12</v>
      </c>
      <c r="J12" s="3" t="s">
        <v>13</v>
      </c>
    </row>
    <row r="13" spans="1:10" ht="19.5" customHeight="1">
      <c r="A13" s="4" t="s">
        <v>22</v>
      </c>
      <c r="B13" s="4" t="s">
        <v>23</v>
      </c>
      <c r="C13" s="4">
        <v>55</v>
      </c>
      <c r="D13" s="4" t="s">
        <v>25</v>
      </c>
      <c r="E13" s="4">
        <v>36</v>
      </c>
      <c r="F13" s="4" t="s">
        <v>27</v>
      </c>
      <c r="G13" s="4">
        <v>8</v>
      </c>
      <c r="H13" s="4">
        <v>160</v>
      </c>
      <c r="I13" s="4">
        <v>0</v>
      </c>
      <c r="J13" s="8" t="s">
        <v>14</v>
      </c>
    </row>
    <row r="14" spans="1:10" s="2" customFormat="1" ht="21" customHeight="1">
      <c r="A14" s="4" t="s">
        <v>24</v>
      </c>
      <c r="B14" s="4" t="s">
        <v>28</v>
      </c>
      <c r="C14" s="4">
        <v>56</v>
      </c>
      <c r="D14" s="4" t="s">
        <v>25</v>
      </c>
      <c r="E14" s="4">
        <v>32</v>
      </c>
      <c r="F14" s="4" t="s">
        <v>26</v>
      </c>
      <c r="G14" s="4">
        <v>8</v>
      </c>
      <c r="H14" s="4">
        <v>160</v>
      </c>
      <c r="I14" s="4">
        <v>1</v>
      </c>
      <c r="J14" s="4"/>
    </row>
    <row r="15" spans="1:10">
      <c r="G15" s="5" t="s">
        <v>32</v>
      </c>
      <c r="H15" s="5" t="s">
        <v>21</v>
      </c>
      <c r="I15" s="5"/>
      <c r="J15" s="5" t="s">
        <v>21</v>
      </c>
    </row>
    <row r="17" spans="1:10" ht="21">
      <c r="A17" s="3" t="s">
        <v>16</v>
      </c>
      <c r="B17" s="26" t="s">
        <v>18</v>
      </c>
      <c r="C17" s="26"/>
      <c r="D17" s="26"/>
      <c r="E17" s="26"/>
      <c r="F17" s="26"/>
      <c r="G17" s="26"/>
      <c r="H17" s="26"/>
      <c r="I17" s="26"/>
      <c r="J17" s="26"/>
    </row>
    <row r="20" spans="1:10" s="1" customFormat="1">
      <c r="A20" s="3" t="s">
        <v>4</v>
      </c>
      <c r="B20" s="3" t="s">
        <v>5</v>
      </c>
      <c r="C20" s="3" t="s">
        <v>6</v>
      </c>
      <c r="D20" s="3" t="s">
        <v>7</v>
      </c>
      <c r="E20" s="3" t="s">
        <v>8</v>
      </c>
      <c r="F20" s="3" t="s">
        <v>19</v>
      </c>
      <c r="G20" s="3" t="s">
        <v>20</v>
      </c>
      <c r="H20" s="3" t="s">
        <v>13</v>
      </c>
    </row>
    <row r="21" spans="1:10" ht="33.75" customHeight="1">
      <c r="A21" s="5" t="s">
        <v>22</v>
      </c>
      <c r="B21" s="5" t="s">
        <v>23</v>
      </c>
      <c r="C21" s="5">
        <v>56</v>
      </c>
      <c r="D21" s="5" t="s">
        <v>29</v>
      </c>
      <c r="E21" s="5">
        <v>32</v>
      </c>
      <c r="F21" s="5">
        <v>22</v>
      </c>
      <c r="G21" s="5">
        <v>100</v>
      </c>
      <c r="H21" s="8" t="s">
        <v>14</v>
      </c>
    </row>
    <row r="22" spans="1:10">
      <c r="A22" s="5"/>
      <c r="B22" s="5" t="s">
        <v>23</v>
      </c>
      <c r="C22" s="5"/>
      <c r="D22" s="5"/>
      <c r="E22" s="5">
        <v>34</v>
      </c>
      <c r="F22" s="5">
        <v>99</v>
      </c>
      <c r="G22" s="5">
        <v>200</v>
      </c>
      <c r="H22" s="3"/>
    </row>
    <row r="23" spans="1:10">
      <c r="A23" s="5"/>
      <c r="B23" s="5" t="s">
        <v>23</v>
      </c>
      <c r="C23" s="5"/>
      <c r="D23" s="5"/>
      <c r="E23" s="5">
        <v>36</v>
      </c>
      <c r="F23" s="5">
        <v>110</v>
      </c>
      <c r="G23" s="5">
        <v>140</v>
      </c>
      <c r="H23" s="3"/>
    </row>
    <row r="24" spans="1:10">
      <c r="A24" s="9"/>
      <c r="B24" s="9"/>
      <c r="C24" s="9"/>
      <c r="D24" s="9"/>
      <c r="E24" s="9"/>
      <c r="F24" s="5" t="s">
        <v>21</v>
      </c>
      <c r="G24" s="5" t="s">
        <v>21</v>
      </c>
      <c r="H24" s="3" t="s">
        <v>21</v>
      </c>
    </row>
    <row r="25" spans="1:10">
      <c r="A25" s="9"/>
      <c r="B25" s="9"/>
      <c r="C25" s="9"/>
      <c r="D25" s="9"/>
      <c r="E25" s="9"/>
      <c r="F25" s="9"/>
      <c r="G25" s="9"/>
      <c r="H25" s="11"/>
    </row>
    <row r="26" spans="1:10">
      <c r="A26" s="9"/>
      <c r="B26" s="9"/>
      <c r="C26" s="9"/>
      <c r="D26" s="9"/>
      <c r="E26" s="9"/>
      <c r="F26" s="9"/>
      <c r="G26" s="9"/>
      <c r="H26" s="11"/>
    </row>
    <row r="27" spans="1:10" ht="23.25">
      <c r="A27" s="23" t="s">
        <v>31</v>
      </c>
      <c r="B27" s="23"/>
      <c r="C27" s="23"/>
      <c r="D27" s="23"/>
      <c r="E27" s="23"/>
      <c r="F27" s="23"/>
      <c r="G27" s="23"/>
      <c r="H27" s="23"/>
      <c r="I27" s="23"/>
      <c r="J27" s="23"/>
    </row>
    <row r="28" spans="1:10" ht="23.2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s="1" customFormat="1">
      <c r="A29" s="1" t="s">
        <v>36</v>
      </c>
      <c r="G29" s="1" t="s">
        <v>34</v>
      </c>
      <c r="H29" s="25" t="s">
        <v>35</v>
      </c>
      <c r="I29" s="25"/>
      <c r="J29" s="25"/>
    </row>
    <row r="30" spans="1:10">
      <c r="A30" s="1"/>
    </row>
    <row r="31" spans="1:10" s="1" customFormat="1">
      <c r="A31" s="3" t="s">
        <v>7</v>
      </c>
      <c r="B31" s="3" t="s">
        <v>10</v>
      </c>
      <c r="C31" s="3" t="s">
        <v>11</v>
      </c>
      <c r="D31" s="3" t="s">
        <v>13</v>
      </c>
      <c r="F31" s="3" t="s">
        <v>7</v>
      </c>
      <c r="G31" s="3" t="s">
        <v>33</v>
      </c>
      <c r="H31" s="3" t="s">
        <v>10</v>
      </c>
      <c r="I31" s="3" t="s">
        <v>11</v>
      </c>
      <c r="J31" s="3" t="s">
        <v>13</v>
      </c>
    </row>
    <row r="32" spans="1:10">
      <c r="A32" s="5" t="s">
        <v>29</v>
      </c>
      <c r="B32" s="5">
        <v>4180</v>
      </c>
      <c r="C32" s="5">
        <v>83600</v>
      </c>
      <c r="D32" s="5">
        <v>33440000</v>
      </c>
      <c r="F32" s="20" t="s">
        <v>29</v>
      </c>
      <c r="G32" s="10">
        <v>30</v>
      </c>
      <c r="H32" s="5">
        <v>1045</v>
      </c>
      <c r="I32" s="5">
        <v>20900</v>
      </c>
      <c r="J32" s="5">
        <v>8360000</v>
      </c>
    </row>
    <row r="33" spans="1:10">
      <c r="A33" s="5" t="s">
        <v>30</v>
      </c>
      <c r="B33" s="5">
        <v>2090</v>
      </c>
      <c r="C33" s="5">
        <v>41800</v>
      </c>
      <c r="D33" s="5">
        <v>16929000</v>
      </c>
      <c r="F33" s="21"/>
      <c r="G33" s="10">
        <v>32</v>
      </c>
      <c r="H33" s="5">
        <v>1045</v>
      </c>
      <c r="I33" s="5">
        <v>20900</v>
      </c>
      <c r="J33" s="5">
        <v>8360000</v>
      </c>
    </row>
    <row r="34" spans="1:10">
      <c r="A34" s="3" t="s">
        <v>21</v>
      </c>
      <c r="B34" s="3">
        <f>SUM(B32:B33)</f>
        <v>6270</v>
      </c>
      <c r="C34" s="3">
        <f>SUM(C32:C33)</f>
        <v>125400</v>
      </c>
      <c r="D34" s="3">
        <f>SUM(D32:D33)</f>
        <v>50369000</v>
      </c>
      <c r="F34" s="21"/>
      <c r="G34" s="10">
        <v>34</v>
      </c>
      <c r="H34" s="5">
        <v>1045</v>
      </c>
      <c r="I34" s="5">
        <v>20900</v>
      </c>
      <c r="J34" s="5">
        <v>8360000</v>
      </c>
    </row>
    <row r="35" spans="1:10">
      <c r="B35" s="15"/>
      <c r="C35" s="15"/>
      <c r="D35" s="15"/>
      <c r="F35" s="22"/>
      <c r="G35" s="5">
        <v>36</v>
      </c>
      <c r="H35" s="5">
        <v>1045</v>
      </c>
      <c r="I35" s="5">
        <v>20900</v>
      </c>
      <c r="J35" s="5">
        <v>8360000</v>
      </c>
    </row>
    <row r="36" spans="1:10">
      <c r="G36" s="13" t="s">
        <v>21</v>
      </c>
      <c r="H36" s="3">
        <f>SUM(H32:H35)</f>
        <v>4180</v>
      </c>
      <c r="I36" s="3">
        <f>SUM(I32:I35)</f>
        <v>83600</v>
      </c>
      <c r="J36" s="3">
        <f>SUM(J32:J35)</f>
        <v>33440000</v>
      </c>
    </row>
    <row r="37" spans="1:10">
      <c r="B37" s="9"/>
      <c r="C37" s="9"/>
      <c r="D37" s="9"/>
      <c r="F37" s="24" t="s">
        <v>30</v>
      </c>
      <c r="G37" s="14">
        <v>28</v>
      </c>
      <c r="H37" s="5">
        <v>418</v>
      </c>
      <c r="I37" s="5">
        <v>8360</v>
      </c>
      <c r="J37" s="5">
        <v>3385800</v>
      </c>
    </row>
    <row r="38" spans="1:10">
      <c r="F38" s="24"/>
      <c r="G38" s="10">
        <v>30</v>
      </c>
      <c r="H38" s="5">
        <v>418</v>
      </c>
      <c r="I38" s="5">
        <v>8360</v>
      </c>
      <c r="J38" s="5">
        <v>3385800</v>
      </c>
    </row>
    <row r="39" spans="1:10">
      <c r="F39" s="24"/>
      <c r="G39" s="10">
        <v>32</v>
      </c>
      <c r="H39" s="5">
        <v>418</v>
      </c>
      <c r="I39" s="5">
        <v>8360</v>
      </c>
      <c r="J39" s="5">
        <v>3385800</v>
      </c>
    </row>
    <row r="40" spans="1:10">
      <c r="F40" s="24"/>
      <c r="G40" s="10">
        <v>34</v>
      </c>
      <c r="H40" s="5">
        <v>418</v>
      </c>
      <c r="I40" s="5">
        <v>8360</v>
      </c>
      <c r="J40" s="5">
        <v>3385800</v>
      </c>
    </row>
    <row r="41" spans="1:10">
      <c r="F41" s="24"/>
      <c r="G41" s="5">
        <v>36</v>
      </c>
      <c r="H41" s="5">
        <v>418</v>
      </c>
      <c r="I41" s="5">
        <v>8360</v>
      </c>
      <c r="J41" s="5">
        <v>3385800</v>
      </c>
    </row>
    <row r="42" spans="1:10">
      <c r="G42" s="3" t="s">
        <v>21</v>
      </c>
      <c r="H42" s="3">
        <f>SUM(H37:H41)</f>
        <v>2090</v>
      </c>
      <c r="I42" s="3">
        <f>SUM(I37:I41)</f>
        <v>41800</v>
      </c>
      <c r="J42" s="3">
        <f>SUM(J37:J41)</f>
        <v>16929000</v>
      </c>
    </row>
    <row r="43" spans="1:10">
      <c r="G43" s="3" t="s">
        <v>37</v>
      </c>
      <c r="H43" s="3">
        <f>SUM(H36,H42)</f>
        <v>6270</v>
      </c>
      <c r="I43" s="3">
        <f>I36+I42</f>
        <v>125400</v>
      </c>
      <c r="J43" s="3">
        <f>J36+J42</f>
        <v>50369000</v>
      </c>
    </row>
  </sheetData>
  <mergeCells count="8">
    <mergeCell ref="F32:F35"/>
    <mergeCell ref="A27:J27"/>
    <mergeCell ref="F37:F41"/>
    <mergeCell ref="H29:J29"/>
    <mergeCell ref="A6:J6"/>
    <mergeCell ref="B17:J17"/>
    <mergeCell ref="F7:G7"/>
    <mergeCell ref="I7:J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5"/>
  <sheetViews>
    <sheetView workbookViewId="0">
      <selection activeCell="K45" sqref="K45"/>
    </sheetView>
  </sheetViews>
  <sheetFormatPr defaultRowHeight="15"/>
  <cols>
    <col min="1" max="1" width="24.7109375" customWidth="1"/>
    <col min="2" max="2" width="16.5703125" customWidth="1"/>
    <col min="3" max="3" width="28.28515625" customWidth="1"/>
    <col min="4" max="4" width="13.140625" customWidth="1"/>
    <col min="5" max="5" width="18.7109375" customWidth="1"/>
    <col min="6" max="6" width="23.5703125" customWidth="1"/>
    <col min="7" max="7" width="15.28515625" customWidth="1"/>
    <col min="8" max="8" width="9.85546875" customWidth="1"/>
    <col min="9" max="9" width="13.85546875" customWidth="1"/>
  </cols>
  <sheetData>
    <row r="1" spans="1:11" ht="26.25">
      <c r="A1" s="18" t="s">
        <v>44</v>
      </c>
    </row>
    <row r="2" spans="1:11">
      <c r="B2" t="s">
        <v>45</v>
      </c>
    </row>
    <row r="3" spans="1:11">
      <c r="C3" t="s">
        <v>46</v>
      </c>
    </row>
    <row r="4" spans="1:11">
      <c r="C4" t="s">
        <v>47</v>
      </c>
    </row>
    <row r="5" spans="1:11">
      <c r="C5" t="s">
        <v>48</v>
      </c>
      <c r="K5" s="9"/>
    </row>
    <row r="6" spans="1:11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48</v>
      </c>
      <c r="G6" s="3" t="s">
        <v>54</v>
      </c>
      <c r="H6" s="3" t="s">
        <v>55</v>
      </c>
      <c r="I6" s="30" t="s">
        <v>56</v>
      </c>
      <c r="J6" s="29"/>
      <c r="K6" s="9"/>
    </row>
    <row r="7" spans="1:11">
      <c r="A7" s="5"/>
      <c r="B7" s="5"/>
      <c r="C7" s="5"/>
      <c r="D7" s="5"/>
      <c r="E7" s="5"/>
      <c r="F7" s="5"/>
      <c r="G7" s="5"/>
      <c r="H7" s="5"/>
      <c r="I7" s="28"/>
      <c r="J7" s="29"/>
      <c r="K7" s="9"/>
    </row>
    <row r="8" spans="1:11">
      <c r="A8" s="5"/>
      <c r="B8" s="5"/>
      <c r="C8" s="5"/>
      <c r="D8" s="5"/>
      <c r="E8" s="5"/>
      <c r="F8" s="5"/>
      <c r="G8" s="5"/>
      <c r="H8" s="5"/>
      <c r="I8" s="28"/>
      <c r="J8" s="29"/>
      <c r="K8" s="9"/>
    </row>
    <row r="9" spans="1:11">
      <c r="A9" s="5"/>
      <c r="B9" s="5"/>
      <c r="C9" s="5"/>
      <c r="D9" s="5"/>
      <c r="E9" s="5"/>
      <c r="F9" s="5"/>
      <c r="G9" s="5"/>
      <c r="H9" s="5"/>
      <c r="I9" s="28"/>
      <c r="J9" s="29"/>
      <c r="K9" s="9"/>
    </row>
    <row r="10" spans="1:11">
      <c r="A10" s="5"/>
      <c r="B10" s="5"/>
      <c r="C10" s="5"/>
      <c r="D10" s="5"/>
      <c r="E10" s="5"/>
      <c r="F10" s="5"/>
      <c r="G10" s="5"/>
      <c r="H10" s="5"/>
      <c r="I10" s="28"/>
      <c r="J10" s="29"/>
      <c r="K10" s="9"/>
    </row>
    <row r="11" spans="1:11">
      <c r="A11" s="5"/>
      <c r="B11" s="5"/>
      <c r="C11" s="5"/>
      <c r="D11" s="5"/>
      <c r="E11" s="5"/>
      <c r="F11" s="5"/>
      <c r="G11" s="5"/>
      <c r="H11" s="5"/>
      <c r="I11" s="28"/>
      <c r="J11" s="29"/>
      <c r="K11" s="9"/>
    </row>
    <row r="12" spans="1:11">
      <c r="A12" s="5"/>
      <c r="B12" s="5"/>
      <c r="C12" s="5"/>
      <c r="D12" s="5"/>
      <c r="E12" s="5"/>
      <c r="F12" s="5"/>
      <c r="G12" s="5"/>
      <c r="H12" s="5"/>
      <c r="I12" s="28"/>
      <c r="J12" s="29"/>
      <c r="K12" s="9"/>
    </row>
    <row r="13" spans="1:11" ht="26.25">
      <c r="A13" s="18" t="s">
        <v>42</v>
      </c>
    </row>
    <row r="14" spans="1:11">
      <c r="B14" t="s">
        <v>57</v>
      </c>
    </row>
    <row r="15" spans="1:11">
      <c r="C15" t="s">
        <v>46</v>
      </c>
    </row>
    <row r="16" spans="1:11">
      <c r="C16" t="s">
        <v>48</v>
      </c>
    </row>
    <row r="17" spans="1:15">
      <c r="C17" t="s">
        <v>58</v>
      </c>
      <c r="K17" t="s">
        <v>62</v>
      </c>
    </row>
    <row r="18" spans="1:15">
      <c r="C18" t="s">
        <v>33</v>
      </c>
      <c r="O18" t="s">
        <v>65</v>
      </c>
    </row>
    <row r="19" spans="1:15">
      <c r="A19" s="3" t="s">
        <v>59</v>
      </c>
      <c r="B19" s="3" t="s">
        <v>60</v>
      </c>
      <c r="C19" s="3" t="s">
        <v>51</v>
      </c>
      <c r="D19" s="3" t="s">
        <v>61</v>
      </c>
      <c r="E19" s="3" t="s">
        <v>58</v>
      </c>
      <c r="F19" s="3" t="s">
        <v>48</v>
      </c>
      <c r="G19" s="3" t="s">
        <v>33</v>
      </c>
      <c r="H19" s="3" t="s">
        <v>54</v>
      </c>
      <c r="I19" s="3" t="s">
        <v>55</v>
      </c>
      <c r="L19" s="3" t="s">
        <v>63</v>
      </c>
      <c r="M19" s="3" t="s">
        <v>33</v>
      </c>
      <c r="N19" s="3" t="s">
        <v>54</v>
      </c>
      <c r="O19" s="31" t="s">
        <v>55</v>
      </c>
    </row>
    <row r="20" spans="1:15">
      <c r="A20" s="5"/>
      <c r="B20" s="5"/>
      <c r="C20" s="5"/>
      <c r="D20" s="5"/>
      <c r="E20" s="5"/>
      <c r="F20" s="5"/>
      <c r="G20" s="5"/>
      <c r="H20" s="5"/>
      <c r="I20" s="5"/>
      <c r="L20" s="5" t="s">
        <v>64</v>
      </c>
      <c r="M20" s="5">
        <v>32</v>
      </c>
      <c r="N20" s="5">
        <v>44</v>
      </c>
      <c r="O20" s="5">
        <v>880</v>
      </c>
    </row>
    <row r="21" spans="1:15">
      <c r="A21" s="5"/>
      <c r="B21" s="5"/>
      <c r="C21" s="5"/>
      <c r="D21" s="5"/>
      <c r="E21" s="5"/>
      <c r="F21" s="5"/>
      <c r="G21" s="5"/>
      <c r="H21" s="5"/>
      <c r="I21" s="5"/>
      <c r="L21" s="5"/>
      <c r="M21" s="5"/>
      <c r="N21" s="5"/>
      <c r="O21" s="5"/>
    </row>
    <row r="22" spans="1:15">
      <c r="A22" s="5"/>
      <c r="B22" s="5"/>
      <c r="C22" s="5"/>
      <c r="D22" s="5"/>
      <c r="E22" s="5"/>
      <c r="F22" s="5"/>
      <c r="G22" s="5"/>
      <c r="H22" s="5"/>
      <c r="I22" s="5"/>
      <c r="L22" s="5"/>
      <c r="M22" s="5"/>
      <c r="N22" s="5"/>
      <c r="O22" s="5"/>
    </row>
    <row r="23" spans="1:15">
      <c r="A23" s="5"/>
      <c r="B23" s="5"/>
      <c r="C23" s="5"/>
      <c r="D23" s="5"/>
      <c r="E23" s="5"/>
      <c r="F23" s="5"/>
      <c r="G23" s="5"/>
      <c r="H23" s="5"/>
      <c r="I23" s="5"/>
      <c r="L23" s="5"/>
      <c r="M23" s="5"/>
      <c r="N23" s="5"/>
      <c r="O23" s="5"/>
    </row>
    <row r="24" spans="1:15">
      <c r="A24" s="5"/>
      <c r="B24" s="5"/>
      <c r="C24" s="5"/>
      <c r="D24" s="5"/>
      <c r="E24" s="5"/>
      <c r="F24" s="5"/>
      <c r="G24" s="5"/>
      <c r="H24" s="5"/>
      <c r="I24" s="5"/>
    </row>
    <row r="25" spans="1:15">
      <c r="A25" s="5"/>
      <c r="B25" s="5"/>
      <c r="C25" s="5"/>
      <c r="D25" s="5"/>
      <c r="E25" s="5"/>
      <c r="F25" s="5"/>
      <c r="G25" s="5"/>
      <c r="H25" s="5"/>
      <c r="I25" s="5"/>
    </row>
    <row r="26" spans="1:15">
      <c r="A26" s="5"/>
      <c r="B26" s="5"/>
      <c r="C26" s="5"/>
      <c r="D26" s="5"/>
      <c r="E26" s="5"/>
      <c r="F26" s="5"/>
      <c r="G26" s="5"/>
      <c r="H26" s="5"/>
      <c r="I26" s="5"/>
    </row>
    <row r="27" spans="1:15">
      <c r="A27" s="5"/>
      <c r="B27" s="5"/>
      <c r="C27" s="5"/>
      <c r="D27" s="5"/>
      <c r="E27" s="5"/>
      <c r="F27" s="5"/>
      <c r="G27" s="5"/>
      <c r="H27" s="5"/>
      <c r="I27" s="5"/>
    </row>
    <row r="30" spans="1:15" ht="28.5">
      <c r="A30" s="19" t="s">
        <v>3</v>
      </c>
    </row>
    <row r="31" spans="1:15" ht="28.5">
      <c r="A31" s="19"/>
      <c r="B31" t="s">
        <v>69</v>
      </c>
    </row>
    <row r="32" spans="1:15" ht="23.25" customHeight="1">
      <c r="A32" s="19"/>
      <c r="C32" t="s">
        <v>46</v>
      </c>
    </row>
    <row r="33" spans="1:10" ht="21">
      <c r="A33" s="32"/>
      <c r="B33" s="32" t="s">
        <v>54</v>
      </c>
      <c r="C33" s="32" t="s">
        <v>55</v>
      </c>
    </row>
    <row r="34" spans="1:10" ht="15.75">
      <c r="A34" s="34" t="s">
        <v>66</v>
      </c>
      <c r="B34" s="5">
        <v>500</v>
      </c>
      <c r="C34" s="5">
        <v>10000</v>
      </c>
    </row>
    <row r="35" spans="1:10" ht="15.75">
      <c r="A35" s="34" t="s">
        <v>67</v>
      </c>
      <c r="B35" s="5">
        <v>200</v>
      </c>
      <c r="C35" s="5">
        <v>4000</v>
      </c>
    </row>
    <row r="36" spans="1:10" ht="15.75">
      <c r="A36" s="34" t="s">
        <v>68</v>
      </c>
      <c r="B36" s="5">
        <v>300</v>
      </c>
      <c r="C36" s="5">
        <v>6000</v>
      </c>
    </row>
    <row r="37" spans="1:10" ht="15.75">
      <c r="A37" s="34" t="s">
        <v>3</v>
      </c>
      <c r="B37" s="5">
        <f>B34+B35-B36</f>
        <v>400</v>
      </c>
      <c r="C37" s="5">
        <f>C34+C35-C36</f>
        <v>8000</v>
      </c>
    </row>
    <row r="38" spans="1:10" ht="28.5">
      <c r="A38" s="19"/>
    </row>
    <row r="39" spans="1:10" ht="28.5">
      <c r="A39" s="19" t="s">
        <v>43</v>
      </c>
    </row>
    <row r="40" spans="1:10">
      <c r="B40" t="s">
        <v>69</v>
      </c>
    </row>
    <row r="41" spans="1:10">
      <c r="A41" s="1"/>
      <c r="B41" s="1"/>
      <c r="C41" s="35" t="s">
        <v>46</v>
      </c>
      <c r="D41" s="1"/>
      <c r="E41" s="1"/>
    </row>
    <row r="42" spans="1:10">
      <c r="C42" s="35" t="s">
        <v>48</v>
      </c>
      <c r="E42" s="1"/>
      <c r="F42" s="1" t="s">
        <v>78</v>
      </c>
      <c r="G42" s="1"/>
      <c r="H42" s="1"/>
      <c r="I42" s="1"/>
      <c r="J42" s="1"/>
    </row>
    <row r="43" spans="1:10">
      <c r="A43" s="1"/>
      <c r="B43" s="1"/>
      <c r="C43" s="35" t="s">
        <v>70</v>
      </c>
      <c r="D43" s="1"/>
      <c r="E43" s="1"/>
    </row>
    <row r="44" spans="1:10" ht="18.75">
      <c r="A44" s="33" t="s">
        <v>53</v>
      </c>
      <c r="B44" s="33" t="s">
        <v>48</v>
      </c>
      <c r="C44" s="33" t="s">
        <v>71</v>
      </c>
      <c r="D44" s="33" t="s">
        <v>72</v>
      </c>
      <c r="E44" s="33" t="s">
        <v>73</v>
      </c>
      <c r="F44" s="33" t="s">
        <v>74</v>
      </c>
      <c r="G44" s="33" t="s">
        <v>75</v>
      </c>
      <c r="H44" s="33" t="s">
        <v>55</v>
      </c>
      <c r="I44" s="33" t="s">
        <v>76</v>
      </c>
    </row>
    <row r="45" spans="1:10" ht="49.5" customHeight="1">
      <c r="A45" s="5"/>
      <c r="B45" s="5"/>
      <c r="C45" s="5"/>
      <c r="D45" s="5"/>
      <c r="E45" s="5"/>
      <c r="F45" s="5"/>
      <c r="G45" s="5"/>
      <c r="H45" s="5"/>
      <c r="I45" s="36" t="s">
        <v>77</v>
      </c>
    </row>
    <row r="46" spans="1:10">
      <c r="A46" s="5"/>
      <c r="B46" s="5"/>
      <c r="C46" s="5"/>
      <c r="D46" s="5"/>
      <c r="E46" s="5"/>
      <c r="F46" s="5"/>
      <c r="G46" s="5"/>
      <c r="H46" s="5"/>
      <c r="I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</row>
    <row r="48" spans="1:10" s="7" customFormat="1" ht="16.5" customHeight="1">
      <c r="A48" s="5"/>
      <c r="B48" s="5"/>
      <c r="C48" s="5"/>
      <c r="D48" s="5"/>
      <c r="E48" s="5"/>
      <c r="F48" s="6"/>
      <c r="G48" s="6"/>
      <c r="H48" s="6"/>
      <c r="I48" s="6"/>
    </row>
    <row r="49" spans="1:11">
      <c r="A49" s="5"/>
      <c r="B49" s="5"/>
      <c r="C49" s="5"/>
      <c r="D49" s="5"/>
      <c r="E49" s="5"/>
      <c r="F49" s="5"/>
      <c r="G49" s="5"/>
      <c r="H49" s="5"/>
      <c r="I49" s="5"/>
    </row>
    <row r="50" spans="1:11">
      <c r="A50" s="3"/>
      <c r="B50" s="3"/>
      <c r="C50" s="3"/>
      <c r="D50" s="3"/>
      <c r="E50" s="3"/>
      <c r="F50" s="5"/>
      <c r="G50" s="5"/>
      <c r="H50" s="5"/>
      <c r="I50" s="5"/>
    </row>
    <row r="51" spans="1:11">
      <c r="A51" s="6"/>
      <c r="B51" s="6"/>
      <c r="C51" s="6"/>
      <c r="D51" s="6"/>
      <c r="E51" s="6"/>
      <c r="F51" s="5"/>
      <c r="G51" s="5"/>
      <c r="H51" s="5"/>
      <c r="I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</row>
    <row r="55" spans="1:11" s="1" customFormat="1">
      <c r="A55"/>
      <c r="B55"/>
      <c r="C55"/>
      <c r="D55"/>
      <c r="E55"/>
      <c r="F55"/>
      <c r="G55"/>
      <c r="H55"/>
      <c r="I55"/>
      <c r="J55"/>
      <c r="K55"/>
    </row>
    <row r="57" spans="1:11" s="1" customFormat="1">
      <c r="A57"/>
      <c r="B57"/>
      <c r="C57"/>
      <c r="D57"/>
      <c r="E57"/>
      <c r="F57"/>
      <c r="G57"/>
      <c r="H57"/>
      <c r="I57"/>
      <c r="J57"/>
      <c r="K57"/>
    </row>
    <row r="64" spans="1:11" s="1" customFormat="1">
      <c r="A64"/>
      <c r="B64"/>
      <c r="C64"/>
      <c r="D64"/>
      <c r="E64"/>
      <c r="F64"/>
      <c r="G64"/>
      <c r="H64"/>
      <c r="I64"/>
      <c r="J64"/>
      <c r="K64"/>
    </row>
    <row r="65" spans="1:11" s="7" customFormat="1" ht="36.75" customHeight="1">
      <c r="A65"/>
      <c r="B65"/>
      <c r="C65"/>
      <c r="D65"/>
      <c r="E65"/>
      <c r="F65"/>
      <c r="G65"/>
      <c r="H65"/>
      <c r="I65"/>
      <c r="J65"/>
      <c r="K6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server</cp:lastModifiedBy>
  <dcterms:created xsi:type="dcterms:W3CDTF">2026-02-02T10:42:17Z</dcterms:created>
  <dcterms:modified xsi:type="dcterms:W3CDTF">2026-02-04T07:18:05Z</dcterms:modified>
</cp:coreProperties>
</file>